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b8f20cad5facb1/Desktop/Project (Masai_IIT_Patna)/Big Basket/"/>
    </mc:Choice>
  </mc:AlternateContent>
  <xr:revisionPtr revIDLastSave="92" documentId="8_{1BB086EC-1F6E-4D6F-B57F-A79C3ACCF186}" xr6:coauthVersionLast="47" xr6:coauthVersionMax="47" xr10:uidLastSave="{605EB82B-09DE-4D72-A20C-10A10604E120}"/>
  <bookViews>
    <workbookView xWindow="-110" yWindow="-110" windowWidth="19420" windowHeight="10300" activeTab="1" xr2:uid="{9C6AF708-5E96-41BF-B659-279C98359739}"/>
  </bookViews>
  <sheets>
    <sheet name="Pivot Sheet" sheetId="4" r:id="rId1"/>
    <sheet name="Category Summary" sheetId="5" r:id="rId2"/>
    <sheet name="Monthly Data" sheetId="1" r:id="rId3"/>
    <sheet name="Category Targets" sheetId="2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D7" i="5" s="1"/>
  <c r="C6" i="5"/>
  <c r="D6" i="5" s="1"/>
  <c r="C5" i="5"/>
  <c r="D5" i="5" s="1"/>
  <c r="C4" i="5"/>
  <c r="D4" i="5" s="1"/>
  <c r="C3" i="5"/>
  <c r="D3" i="5" s="1"/>
  <c r="C2" i="5"/>
  <c r="D2" i="5" s="1"/>
  <c r="B5" i="5"/>
  <c r="E5" i="5" s="1"/>
  <c r="F5" i="5" s="1"/>
  <c r="B2" i="5"/>
  <c r="E2" i="5" s="1"/>
  <c r="F2" i="5" s="1"/>
  <c r="B6" i="5"/>
  <c r="E6" i="5" s="1"/>
  <c r="F6" i="5" s="1"/>
  <c r="B7" i="5"/>
  <c r="E7" i="5" s="1"/>
  <c r="F7" i="5" s="1"/>
  <c r="B3" i="5"/>
  <c r="E3" i="5" s="1"/>
  <c r="F3" i="5" s="1"/>
  <c r="B4" i="5"/>
  <c r="E4" i="5" s="1"/>
  <c r="F4" i="5" s="1"/>
</calcChain>
</file>

<file path=xl/sharedStrings.xml><?xml version="1.0" encoding="utf-8"?>
<sst xmlns="http://schemas.openxmlformats.org/spreadsheetml/2006/main" count="114" uniqueCount="29">
  <si>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</si>
  <si>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</si>
  <si>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</si>
  <si>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</si>
  <si>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</si>
  <si>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</si>
  <si>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</si>
  <si>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</si>
  <si>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</si>
  <si>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</si>
  <si>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</si>
  <si>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</si>
  <si>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</si>
  <si>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</si>
  <si>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</si>
  <si>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</si>
  <si>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</si>
  <si>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</si>
  <si>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Row Labels</t>
  </si>
  <si>
    <t>Grand Total</t>
  </si>
  <si>
    <t>Sum of order_count</t>
  </si>
  <si>
    <t>Sum of total_revenue</t>
  </si>
  <si>
    <t>Pivot total revenue</t>
  </si>
  <si>
    <t>Target Revenue</t>
  </si>
  <si>
    <t>Variance</t>
  </si>
  <si>
    <t>Percentage Variance</t>
  </si>
  <si>
    <t>Status</t>
  </si>
  <si>
    <t>Matches Part 1 SQL total?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</si>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</sst>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treya" refreshedDate="46276.092813310184" createdVersion="8" refreshedVersion="8" minRefreshableVersion="3" recordCount="36" xr:uid="{86DBE09C-0D29-4E79-A0C6-3F548696915E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n v="280.90909090909003"/>
  </r>
  <r>
    <x v="0"/>
    <s v="2026-04"/>
    <n v="13"/>
    <n v="3115"/>
    <n v="239.61538461538399"/>
  </r>
  <r>
    <x v="0"/>
    <s v="2026-05"/>
    <n v="15"/>
    <n v="3695"/>
    <n v="246.333333333333"/>
  </r>
  <r>
    <x v="0"/>
    <s v="2026-06"/>
    <n v="14"/>
    <n v="2335"/>
    <n v="166.78571428571399"/>
  </r>
  <r>
    <x v="1"/>
    <s v="2026-01"/>
    <n v="9"/>
    <n v="2035"/>
    <n v="226.111111111111"/>
  </r>
  <r>
    <x v="1"/>
    <s v="2026-02"/>
    <n v="8"/>
    <n v="1935"/>
    <n v="241.875"/>
  </r>
  <r>
    <x v="1"/>
    <s v="2026-03"/>
    <n v="15"/>
    <n v="3163"/>
    <n v="210.86666666666599"/>
  </r>
  <r>
    <x v="1"/>
    <s v="2026-04"/>
    <n v="9"/>
    <n v="1650"/>
    <n v="183.333333333333"/>
  </r>
  <r>
    <x v="1"/>
    <s v="2026-05"/>
    <n v="14"/>
    <n v="3479"/>
    <n v="248.5"/>
  </r>
  <r>
    <x v="1"/>
    <s v="2026-06"/>
    <n v="11"/>
    <n v="1828"/>
    <n v="166.18181818181799"/>
  </r>
  <r>
    <x v="2"/>
    <s v="2026-01"/>
    <n v="12"/>
    <n v="1290"/>
    <n v="107.5"/>
  </r>
  <r>
    <x v="2"/>
    <s v="2026-02"/>
    <n v="13"/>
    <n v="2090"/>
    <n v="160.76923076923001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n v="155.833333333333"/>
  </r>
  <r>
    <x v="2"/>
    <s v="2026-06"/>
    <n v="9"/>
    <n v="1060"/>
    <n v="117.777777777777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n v="304.166666666666"/>
  </r>
  <r>
    <x v="4"/>
    <s v="2026-01"/>
    <n v="12"/>
    <n v="3608"/>
    <n v="300.666666666666"/>
  </r>
  <r>
    <x v="4"/>
    <s v="2026-02"/>
    <n v="8"/>
    <n v="2177"/>
    <n v="272.125"/>
  </r>
  <r>
    <x v="4"/>
    <s v="2026-03"/>
    <n v="11"/>
    <n v="2807"/>
    <n v="255.18181818181799"/>
  </r>
  <r>
    <x v="4"/>
    <s v="2026-04"/>
    <n v="9"/>
    <n v="1970"/>
    <n v="218.888888888888"/>
  </r>
  <r>
    <x v="4"/>
    <s v="2026-05"/>
    <n v="13"/>
    <n v="3045"/>
    <n v="234.230769230769"/>
  </r>
  <r>
    <x v="4"/>
    <s v="2026-06"/>
    <n v="13"/>
    <n v="2775"/>
    <n v="213.461538461538"/>
  </r>
  <r>
    <x v="5"/>
    <s v="2026-01"/>
    <n v="10"/>
    <n v="1290"/>
    <n v="129"/>
  </r>
  <r>
    <x v="5"/>
    <s v="2026-02"/>
    <n v="11"/>
    <n v="1330"/>
    <n v="120.90909090909"/>
  </r>
  <r>
    <x v="5"/>
    <s v="2026-03"/>
    <n v="15"/>
    <n v="1670"/>
    <n v="111.333333333333"/>
  </r>
  <r>
    <x v="5"/>
    <s v="2026-04"/>
    <n v="19"/>
    <n v="2980"/>
    <n v="156.84210526315701"/>
  </r>
  <r>
    <x v="5"/>
    <s v="2026-05"/>
    <n v="13"/>
    <n v="1665"/>
    <n v="128.07692307692301"/>
  </r>
  <r>
    <x v="5"/>
    <s v="2026-06"/>
    <n v="15"/>
    <n v="1960"/>
    <n v="130.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39A85-B880-4F90-8DFF-008211139B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80EF-6A02-412A-91CD-56BFF0F67930}">
  <dimension ref="A3:C10"/>
  <sheetViews>
    <sheetView workbookViewId="0">
      <selection activeCell="A3" sqref="A3"/>
    </sheetView>
  </sheetViews>
  <sheetFormatPr defaultRowHeight="14.5" x14ac:dyDescent="0.35"/>
  <cols>
    <col min="1" max="1" width="18.54296875" bestFit="1" customWidth="1"/>
    <col min="2" max="2" width="19.08984375" bestFit="1" customWidth="1"/>
    <col min="3" max="3" width="17.7265625" bestFit="1" customWidth="1"/>
  </cols>
  <sheetData>
    <row r="3" spans="1:3" x14ac:dyDescent="0.35">
      <c r="A3" s="1" t="s">
        <v>18</v>
      </c>
      <c r="B3" t="s">
        <v>21</v>
      </c>
      <c r="C3" t="s">
        <v>20</v>
      </c>
    </row>
    <row r="4" spans="1:3" x14ac:dyDescent="0.35">
      <c r="A4" s="2" t="s">
        <v>5</v>
      </c>
      <c r="B4">
        <v>15410</v>
      </c>
      <c r="C4">
        <v>67</v>
      </c>
    </row>
    <row r="5" spans="1:3" x14ac:dyDescent="0.35">
      <c r="A5" s="2" t="s">
        <v>12</v>
      </c>
      <c r="B5">
        <v>14090</v>
      </c>
      <c r="C5">
        <v>66</v>
      </c>
    </row>
    <row r="6" spans="1:3" x14ac:dyDescent="0.35">
      <c r="A6" s="2" t="s">
        <v>13</v>
      </c>
      <c r="B6">
        <v>9790</v>
      </c>
      <c r="C6">
        <v>73</v>
      </c>
    </row>
    <row r="7" spans="1:3" x14ac:dyDescent="0.35">
      <c r="A7" s="2" t="s">
        <v>14</v>
      </c>
      <c r="B7">
        <v>21715</v>
      </c>
      <c r="C7">
        <v>79</v>
      </c>
    </row>
    <row r="8" spans="1:3" x14ac:dyDescent="0.35">
      <c r="A8" s="2" t="s">
        <v>15</v>
      </c>
      <c r="B8">
        <v>16382</v>
      </c>
      <c r="C8">
        <v>66</v>
      </c>
    </row>
    <row r="9" spans="1:3" x14ac:dyDescent="0.35">
      <c r="A9" s="2" t="s">
        <v>16</v>
      </c>
      <c r="B9">
        <v>10895</v>
      </c>
      <c r="C9">
        <v>83</v>
      </c>
    </row>
    <row r="10" spans="1:3" x14ac:dyDescent="0.35">
      <c r="A10" s="2" t="s">
        <v>19</v>
      </c>
      <c r="B10">
        <v>88282</v>
      </c>
      <c r="C10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3BE0-B994-4C79-9741-0A51A0582F15}">
  <dimension ref="A1:G7"/>
  <sheetViews>
    <sheetView tabSelected="1" workbookViewId="0">
      <selection activeCell="E2" sqref="E2"/>
    </sheetView>
  </sheetViews>
  <sheetFormatPr defaultRowHeight="14.5" x14ac:dyDescent="0.35"/>
  <cols>
    <col min="1" max="1" width="18.7265625" customWidth="1"/>
    <col min="2" max="2" width="18.453125" customWidth="1"/>
    <col min="3" max="3" width="15.90625" customWidth="1"/>
    <col min="5" max="5" width="19.453125" customWidth="1"/>
    <col min="6" max="6" width="21.81640625" customWidth="1"/>
    <col min="7" max="7" width="24.08984375" customWidth="1"/>
  </cols>
  <sheetData>
    <row r="1" spans="1:7" x14ac:dyDescent="0.3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35">
      <c r="A2" t="s">
        <v>5</v>
      </c>
      <c r="B2">
        <f>'Pivot Sheet'!B4</f>
        <v>15410</v>
      </c>
      <c r="C2">
        <f>_xlfn.XLOOKUP(A2, 'Category Targets'!$A$2:$A$7, 'Category Targets'!$B$2:$B$7, "Not Found")</f>
        <v>12000</v>
      </c>
      <c r="D2">
        <f>C2-B2</f>
        <v>-3410</v>
      </c>
      <c r="E2" s="3">
        <f>(B2-C2)/C2</f>
        <v>0.28416666666666668</v>
      </c>
      <c r="F2" t="str">
        <f>IF(E2&gt;=0, "Above Target", IF(E2&gt;=-0.15, "Below Target - Watch", "Below Target - Critical"))</f>
        <v>Above Target</v>
      </c>
      <c r="G2" t="s">
        <v>28</v>
      </c>
    </row>
    <row r="3" spans="1:7" x14ac:dyDescent="0.35">
      <c r="A3" t="s">
        <v>12</v>
      </c>
      <c r="B3">
        <f>'Pivot Sheet'!B5</f>
        <v>14090</v>
      </c>
      <c r="C3">
        <f>_xlfn.XLOOKUP(A3, 'Category Targets'!$A$2:$A$7, 'Category Targets'!$B$2:$B$7, "Not Found")</f>
        <v>16500</v>
      </c>
      <c r="D3">
        <f t="shared" ref="D3:D7" si="0">C3-B3</f>
        <v>2410</v>
      </c>
      <c r="E3" s="3">
        <f t="shared" ref="E3:E7" si="1">(B3-C3)/C3</f>
        <v>-0.14606060606060606</v>
      </c>
      <c r="F3" t="str">
        <f t="shared" ref="F3:F7" si="2">IF(E3&gt;=0, "Above Target", IF(E3&gt;=-0.15, "Below Target - Watch", "Below Target - Critical"))</f>
        <v>Below Target - Watch</v>
      </c>
      <c r="G3" t="s">
        <v>28</v>
      </c>
    </row>
    <row r="4" spans="1:7" x14ac:dyDescent="0.35">
      <c r="A4" t="s">
        <v>13</v>
      </c>
      <c r="B4">
        <f>'Pivot Sheet'!B6</f>
        <v>9790</v>
      </c>
      <c r="C4">
        <f>_xlfn.XLOOKUP(A4, 'Category Targets'!$A$2:$A$7, 'Category Targets'!$B$2:$B$7, "Not Found")</f>
        <v>12000</v>
      </c>
      <c r="D4">
        <f t="shared" si="0"/>
        <v>2210</v>
      </c>
      <c r="E4" s="3">
        <f t="shared" si="1"/>
        <v>-0.18416666666666667</v>
      </c>
      <c r="F4" t="str">
        <f t="shared" si="2"/>
        <v>Below Target - Critical</v>
      </c>
      <c r="G4" t="s">
        <v>28</v>
      </c>
    </row>
    <row r="5" spans="1:7" x14ac:dyDescent="0.35">
      <c r="A5" t="s">
        <v>14</v>
      </c>
      <c r="B5">
        <f>'Pivot Sheet'!B7</f>
        <v>21715</v>
      </c>
      <c r="C5">
        <f>_xlfn.XLOOKUP(A5, 'Category Targets'!$A$2:$A$7, 'Category Targets'!$B$2:$B$7, "Not Found")</f>
        <v>17000</v>
      </c>
      <c r="D5">
        <f t="shared" si="0"/>
        <v>-4715</v>
      </c>
      <c r="E5" s="3">
        <f t="shared" si="1"/>
        <v>0.27735294117647058</v>
      </c>
      <c r="F5" t="str">
        <f t="shared" si="2"/>
        <v>Above Target</v>
      </c>
      <c r="G5" t="s">
        <v>28</v>
      </c>
    </row>
    <row r="6" spans="1:7" x14ac:dyDescent="0.35">
      <c r="A6" t="s">
        <v>15</v>
      </c>
      <c r="B6">
        <f>'Pivot Sheet'!B8</f>
        <v>16382</v>
      </c>
      <c r="C6">
        <f>_xlfn.XLOOKUP(A6, 'Category Targets'!$A$2:$A$7, 'Category Targets'!$B$2:$B$7, "Not Found")</f>
        <v>15500</v>
      </c>
      <c r="D6">
        <f t="shared" si="0"/>
        <v>-882</v>
      </c>
      <c r="E6" s="3">
        <f t="shared" si="1"/>
        <v>5.6903225806451616E-2</v>
      </c>
      <c r="F6" t="str">
        <f t="shared" si="2"/>
        <v>Above Target</v>
      </c>
      <c r="G6" t="s">
        <v>28</v>
      </c>
    </row>
    <row r="7" spans="1:7" x14ac:dyDescent="0.35">
      <c r="A7" t="s">
        <v>16</v>
      </c>
      <c r="B7">
        <f>'Pivot Sheet'!B9</f>
        <v>10895</v>
      </c>
      <c r="C7">
        <f>_xlfn.XLOOKUP(A7, 'Category Targets'!$A$2:$A$7, 'Category Targets'!$B$2:$B$7, "Not Found")</f>
        <v>13000</v>
      </c>
      <c r="D7">
        <f t="shared" si="0"/>
        <v>2105</v>
      </c>
      <c r="E7" s="3">
        <f t="shared" si="1"/>
        <v>-0.16192307692307692</v>
      </c>
      <c r="F7" t="str">
        <f t="shared" si="2"/>
        <v>Below Target - Critical</v>
      </c>
      <c r="G7" t="s">
        <v>28</v>
      </c>
    </row>
  </sheetData>
  <sortState xmlns:xlrd2="http://schemas.microsoft.com/office/spreadsheetml/2017/richdata2" ref="A2:F7">
    <sortCondition ref="A1:A7"/>
  </sortState>
  <conditionalFormatting sqref="F1:F1048576">
    <cfRule type="containsText" dxfId="2" priority="1" operator="containsText" text="Below Target - Watch">
      <formula>NOT(ISERROR(SEARCH("Below Target - Watch",F1)))</formula>
    </cfRule>
    <cfRule type="containsText" dxfId="1" priority="2" operator="containsText" text="Above Target">
      <formula>NOT(ISERROR(SEARCH("Above Target",F1)))</formula>
    </cfRule>
    <cfRule type="containsText" dxfId="0" priority="3" operator="containsText" text="Below Target - Critical">
      <formula>NOT(ISERROR(SEARCH("Below Target - Critical",F1)))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FD62-E0CC-4CF1-84FA-FEA76079662F}">
  <dimension ref="A1:E37"/>
  <sheetViews>
    <sheetView workbookViewId="0"/>
  </sheetViews>
  <sheetFormatPr defaultRowHeight="14.5" x14ac:dyDescent="0.35"/>
  <cols>
    <col min="3" max="3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6</v>
      </c>
      <c r="D2">
        <v>735</v>
      </c>
      <c r="E2">
        <v>122.5</v>
      </c>
    </row>
    <row r="3" spans="1:5" x14ac:dyDescent="0.35">
      <c r="A3" t="s">
        <v>5</v>
      </c>
      <c r="B3" t="s">
        <v>7</v>
      </c>
      <c r="C3">
        <v>8</v>
      </c>
      <c r="D3">
        <v>2440</v>
      </c>
      <c r="E3">
        <v>305</v>
      </c>
    </row>
    <row r="4" spans="1:5" x14ac:dyDescent="0.35">
      <c r="A4" t="s">
        <v>5</v>
      </c>
      <c r="B4" t="s">
        <v>8</v>
      </c>
      <c r="C4">
        <v>11</v>
      </c>
      <c r="D4">
        <v>3090</v>
      </c>
      <c r="E4">
        <v>280.90909090909003</v>
      </c>
    </row>
    <row r="5" spans="1:5" x14ac:dyDescent="0.35">
      <c r="A5" t="s">
        <v>5</v>
      </c>
      <c r="B5" t="s">
        <v>9</v>
      </c>
      <c r="C5">
        <v>13</v>
      </c>
      <c r="D5">
        <v>3115</v>
      </c>
      <c r="E5">
        <v>239.61538461538399</v>
      </c>
    </row>
    <row r="6" spans="1:5" x14ac:dyDescent="0.35">
      <c r="A6" t="s">
        <v>5</v>
      </c>
      <c r="B6" t="s">
        <v>10</v>
      </c>
      <c r="C6">
        <v>15</v>
      </c>
      <c r="D6">
        <v>3695</v>
      </c>
      <c r="E6">
        <v>246.333333333333</v>
      </c>
    </row>
    <row r="7" spans="1:5" x14ac:dyDescent="0.35">
      <c r="A7" t="s">
        <v>5</v>
      </c>
      <c r="B7" t="s">
        <v>11</v>
      </c>
      <c r="C7">
        <v>14</v>
      </c>
      <c r="D7">
        <v>2335</v>
      </c>
      <c r="E7">
        <v>166.78571428571399</v>
      </c>
    </row>
    <row r="8" spans="1:5" x14ac:dyDescent="0.35">
      <c r="A8" t="s">
        <v>12</v>
      </c>
      <c r="B8" t="s">
        <v>6</v>
      </c>
      <c r="C8">
        <v>9</v>
      </c>
      <c r="D8">
        <v>2035</v>
      </c>
      <c r="E8">
        <v>226.111111111111</v>
      </c>
    </row>
    <row r="9" spans="1:5" x14ac:dyDescent="0.35">
      <c r="A9" t="s">
        <v>12</v>
      </c>
      <c r="B9" t="s">
        <v>7</v>
      </c>
      <c r="C9">
        <v>8</v>
      </c>
      <c r="D9">
        <v>1935</v>
      </c>
      <c r="E9">
        <v>241.875</v>
      </c>
    </row>
    <row r="10" spans="1:5" x14ac:dyDescent="0.35">
      <c r="A10" t="s">
        <v>12</v>
      </c>
      <c r="B10" t="s">
        <v>8</v>
      </c>
      <c r="C10">
        <v>15</v>
      </c>
      <c r="D10">
        <v>3163</v>
      </c>
      <c r="E10">
        <v>210.86666666666599</v>
      </c>
    </row>
    <row r="11" spans="1:5" x14ac:dyDescent="0.35">
      <c r="A11" t="s">
        <v>12</v>
      </c>
      <c r="B11" t="s">
        <v>9</v>
      </c>
      <c r="C11">
        <v>9</v>
      </c>
      <c r="D11">
        <v>1650</v>
      </c>
      <c r="E11">
        <v>183.333333333333</v>
      </c>
    </row>
    <row r="12" spans="1:5" x14ac:dyDescent="0.35">
      <c r="A12" t="s">
        <v>12</v>
      </c>
      <c r="B12" t="s">
        <v>10</v>
      </c>
      <c r="C12">
        <v>14</v>
      </c>
      <c r="D12">
        <v>3479</v>
      </c>
      <c r="E12">
        <v>248.5</v>
      </c>
    </row>
    <row r="13" spans="1:5" x14ac:dyDescent="0.35">
      <c r="A13" t="s">
        <v>12</v>
      </c>
      <c r="B13" t="s">
        <v>11</v>
      </c>
      <c r="C13">
        <v>11</v>
      </c>
      <c r="D13">
        <v>1828</v>
      </c>
      <c r="E13">
        <v>166.18181818181799</v>
      </c>
    </row>
    <row r="14" spans="1:5" x14ac:dyDescent="0.35">
      <c r="A14" t="s">
        <v>13</v>
      </c>
      <c r="B14" t="s">
        <v>6</v>
      </c>
      <c r="C14">
        <v>12</v>
      </c>
      <c r="D14">
        <v>1290</v>
      </c>
      <c r="E14">
        <v>107.5</v>
      </c>
    </row>
    <row r="15" spans="1:5" x14ac:dyDescent="0.35">
      <c r="A15" t="s">
        <v>13</v>
      </c>
      <c r="B15" t="s">
        <v>7</v>
      </c>
      <c r="C15">
        <v>13</v>
      </c>
      <c r="D15">
        <v>2090</v>
      </c>
      <c r="E15">
        <v>160.76923076923001</v>
      </c>
    </row>
    <row r="16" spans="1:5" x14ac:dyDescent="0.35">
      <c r="A16" t="s">
        <v>13</v>
      </c>
      <c r="B16" t="s">
        <v>8</v>
      </c>
      <c r="C16">
        <v>13</v>
      </c>
      <c r="D16">
        <v>2080</v>
      </c>
      <c r="E16">
        <v>160</v>
      </c>
    </row>
    <row r="17" spans="1:5" x14ac:dyDescent="0.35">
      <c r="A17" t="s">
        <v>13</v>
      </c>
      <c r="B17" t="s">
        <v>9</v>
      </c>
      <c r="C17">
        <v>14</v>
      </c>
      <c r="D17">
        <v>1400</v>
      </c>
      <c r="E17">
        <v>100</v>
      </c>
    </row>
    <row r="18" spans="1:5" x14ac:dyDescent="0.35">
      <c r="A18" t="s">
        <v>13</v>
      </c>
      <c r="B18" t="s">
        <v>10</v>
      </c>
      <c r="C18">
        <v>12</v>
      </c>
      <c r="D18">
        <v>1870</v>
      </c>
      <c r="E18">
        <v>155.833333333333</v>
      </c>
    </row>
    <row r="19" spans="1:5" x14ac:dyDescent="0.35">
      <c r="A19" t="s">
        <v>13</v>
      </c>
      <c r="B19" t="s">
        <v>11</v>
      </c>
      <c r="C19">
        <v>9</v>
      </c>
      <c r="D19">
        <v>1060</v>
      </c>
      <c r="E19">
        <v>117.777777777777</v>
      </c>
    </row>
    <row r="20" spans="1:5" x14ac:dyDescent="0.35">
      <c r="A20" t="s">
        <v>14</v>
      </c>
      <c r="B20" t="s">
        <v>6</v>
      </c>
      <c r="C20">
        <v>10</v>
      </c>
      <c r="D20">
        <v>2099</v>
      </c>
      <c r="E20">
        <v>209.9</v>
      </c>
    </row>
    <row r="21" spans="1:5" x14ac:dyDescent="0.35">
      <c r="A21" t="s">
        <v>14</v>
      </c>
      <c r="B21" t="s">
        <v>7</v>
      </c>
      <c r="C21">
        <v>16</v>
      </c>
      <c r="D21">
        <v>5113</v>
      </c>
      <c r="E21">
        <v>319.5625</v>
      </c>
    </row>
    <row r="22" spans="1:5" x14ac:dyDescent="0.35">
      <c r="A22" t="s">
        <v>14</v>
      </c>
      <c r="B22" t="s">
        <v>8</v>
      </c>
      <c r="C22">
        <v>8</v>
      </c>
      <c r="D22">
        <v>1885</v>
      </c>
      <c r="E22">
        <v>235.625</v>
      </c>
    </row>
    <row r="23" spans="1:5" x14ac:dyDescent="0.35">
      <c r="A23" t="s">
        <v>14</v>
      </c>
      <c r="B23" t="s">
        <v>9</v>
      </c>
      <c r="C23">
        <v>17</v>
      </c>
      <c r="D23">
        <v>5491</v>
      </c>
      <c r="E23">
        <v>323</v>
      </c>
    </row>
    <row r="24" spans="1:5" x14ac:dyDescent="0.35">
      <c r="A24" t="s">
        <v>14</v>
      </c>
      <c r="B24" t="s">
        <v>10</v>
      </c>
      <c r="C24">
        <v>16</v>
      </c>
      <c r="D24">
        <v>3477</v>
      </c>
      <c r="E24">
        <v>217.3125</v>
      </c>
    </row>
    <row r="25" spans="1:5" x14ac:dyDescent="0.35">
      <c r="A25" t="s">
        <v>14</v>
      </c>
      <c r="B25" t="s">
        <v>11</v>
      </c>
      <c r="C25">
        <v>12</v>
      </c>
      <c r="D25">
        <v>3650</v>
      </c>
      <c r="E25">
        <v>304.166666666666</v>
      </c>
    </row>
    <row r="26" spans="1:5" x14ac:dyDescent="0.35">
      <c r="A26" t="s">
        <v>15</v>
      </c>
      <c r="B26" t="s">
        <v>6</v>
      </c>
      <c r="C26">
        <v>12</v>
      </c>
      <c r="D26">
        <v>3608</v>
      </c>
      <c r="E26">
        <v>300.666666666666</v>
      </c>
    </row>
    <row r="27" spans="1:5" x14ac:dyDescent="0.35">
      <c r="A27" t="s">
        <v>15</v>
      </c>
      <c r="B27" t="s">
        <v>7</v>
      </c>
      <c r="C27">
        <v>8</v>
      </c>
      <c r="D27">
        <v>2177</v>
      </c>
      <c r="E27">
        <v>272.125</v>
      </c>
    </row>
    <row r="28" spans="1:5" x14ac:dyDescent="0.35">
      <c r="A28" t="s">
        <v>15</v>
      </c>
      <c r="B28" t="s">
        <v>8</v>
      </c>
      <c r="C28">
        <v>11</v>
      </c>
      <c r="D28">
        <v>2807</v>
      </c>
      <c r="E28">
        <v>255.18181818181799</v>
      </c>
    </row>
    <row r="29" spans="1:5" x14ac:dyDescent="0.35">
      <c r="A29" t="s">
        <v>15</v>
      </c>
      <c r="B29" t="s">
        <v>9</v>
      </c>
      <c r="C29">
        <v>9</v>
      </c>
      <c r="D29">
        <v>1970</v>
      </c>
      <c r="E29">
        <v>218.888888888888</v>
      </c>
    </row>
    <row r="30" spans="1:5" x14ac:dyDescent="0.35">
      <c r="A30" t="s">
        <v>15</v>
      </c>
      <c r="B30" t="s">
        <v>10</v>
      </c>
      <c r="C30">
        <v>13</v>
      </c>
      <c r="D30">
        <v>3045</v>
      </c>
      <c r="E30">
        <v>234.230769230769</v>
      </c>
    </row>
    <row r="31" spans="1:5" x14ac:dyDescent="0.35">
      <c r="A31" t="s">
        <v>15</v>
      </c>
      <c r="B31" t="s">
        <v>11</v>
      </c>
      <c r="C31">
        <v>13</v>
      </c>
      <c r="D31">
        <v>2775</v>
      </c>
      <c r="E31">
        <v>213.461538461538</v>
      </c>
    </row>
    <row r="32" spans="1:5" x14ac:dyDescent="0.35">
      <c r="A32" t="s">
        <v>16</v>
      </c>
      <c r="B32" t="s">
        <v>6</v>
      </c>
      <c r="C32">
        <v>10</v>
      </c>
      <c r="D32">
        <v>1290</v>
      </c>
      <c r="E32">
        <v>129</v>
      </c>
    </row>
    <row r="33" spans="1:5" x14ac:dyDescent="0.35">
      <c r="A33" t="s">
        <v>16</v>
      </c>
      <c r="B33" t="s">
        <v>7</v>
      </c>
      <c r="C33">
        <v>11</v>
      </c>
      <c r="D33">
        <v>1330</v>
      </c>
      <c r="E33">
        <v>120.90909090909</v>
      </c>
    </row>
    <row r="34" spans="1:5" x14ac:dyDescent="0.35">
      <c r="A34" t="s">
        <v>16</v>
      </c>
      <c r="B34" t="s">
        <v>8</v>
      </c>
      <c r="C34">
        <v>15</v>
      </c>
      <c r="D34">
        <v>1670</v>
      </c>
      <c r="E34">
        <v>111.333333333333</v>
      </c>
    </row>
    <row r="35" spans="1:5" x14ac:dyDescent="0.35">
      <c r="A35" t="s">
        <v>16</v>
      </c>
      <c r="B35" t="s">
        <v>9</v>
      </c>
      <c r="C35">
        <v>19</v>
      </c>
      <c r="D35">
        <v>2980</v>
      </c>
      <c r="E35">
        <v>156.84210526315701</v>
      </c>
    </row>
    <row r="36" spans="1:5" x14ac:dyDescent="0.35">
      <c r="A36" t="s">
        <v>16</v>
      </c>
      <c r="B36" t="s">
        <v>10</v>
      </c>
      <c r="C36">
        <v>13</v>
      </c>
      <c r="D36">
        <v>1665</v>
      </c>
      <c r="E36">
        <v>128.07692307692301</v>
      </c>
    </row>
    <row r="37" spans="1:5" x14ac:dyDescent="0.35">
      <c r="A37" t="s">
        <v>16</v>
      </c>
      <c r="B37" t="s">
        <v>11</v>
      </c>
      <c r="C37">
        <v>15</v>
      </c>
      <c r="D37">
        <v>1960</v>
      </c>
      <c r="E37">
        <v>130.666666666666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E58A-9E1D-4AC5-A22B-8AAF59312E3F}">
  <dimension ref="A1:B7"/>
  <sheetViews>
    <sheetView workbookViewId="0">
      <selection activeCell="D2" sqref="D2"/>
    </sheetView>
  </sheetViews>
  <sheetFormatPr defaultRowHeight="14.5" x14ac:dyDescent="0.35"/>
  <cols>
    <col min="1" max="1" width="18.7265625" customWidth="1"/>
    <col min="2" max="2" width="18.1796875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13</v>
      </c>
      <c r="B2">
        <v>12000</v>
      </c>
    </row>
    <row r="3" spans="1:2" x14ac:dyDescent="0.35">
      <c r="A3" t="s">
        <v>12</v>
      </c>
      <c r="B3">
        <v>16500</v>
      </c>
    </row>
    <row r="4" spans="1:2" x14ac:dyDescent="0.35">
      <c r="A4" t="s">
        <v>16</v>
      </c>
      <c r="B4">
        <v>13000</v>
      </c>
    </row>
    <row r="5" spans="1:2" x14ac:dyDescent="0.35">
      <c r="A5" t="s">
        <v>15</v>
      </c>
      <c r="B5">
        <v>15500</v>
      </c>
    </row>
    <row r="6" spans="1:2" x14ac:dyDescent="0.35">
      <c r="A6" t="s">
        <v>14</v>
      </c>
      <c r="B6">
        <v>17000</v>
      </c>
    </row>
    <row r="7" spans="1:2" x14ac:dyDescent="0.35">
      <c r="A7" t="s">
        <v>5</v>
      </c>
      <c r="B7">
        <v>12000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Sheet</vt:lpstr>
      <vt:lpstr>Category Summary</vt:lpstr>
      <vt:lpstr>Monthly Data</vt:lpstr>
      <vt:lpstr>Category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Ahtreya</dc:creator>
  <cp:lastModifiedBy>Ahtreya Kumar</cp:lastModifiedBy>
  <dcterms:created xsi:type="dcterms:W3CDTF">2026-09-10T20:25:49Z</dcterms:created>
  <dcterms:modified xsi:type="dcterms:W3CDTF">2026-09-14T18:20:11Z</dcterms:modified>
</cp:coreProperties>
</file>